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13a21d7fb0f8a00/App conta cuentas contables Sergio/"/>
    </mc:Choice>
  </mc:AlternateContent>
  <xr:revisionPtr revIDLastSave="0" documentId="8_{48D8F86D-471E-4F65-AD94-866CD9FD3287}" xr6:coauthVersionLast="47" xr6:coauthVersionMax="47" xr10:uidLastSave="{00000000-0000-0000-0000-000000000000}"/>
  <bookViews>
    <workbookView xWindow="-28920" yWindow="2820" windowWidth="29040" windowHeight="1572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8" i="2" l="1"/>
  <c r="M33" i="2"/>
  <c r="M28" i="2"/>
  <c r="M11" i="2"/>
  <c r="M40" i="2" s="1"/>
  <c r="F52" i="2"/>
  <c r="F60" i="2"/>
  <c r="F43" i="2"/>
  <c r="F40" i="2"/>
  <c r="F27" i="2"/>
  <c r="F22" i="2"/>
  <c r="F17" i="2"/>
  <c r="F12" i="2"/>
  <c r="F35" i="2" s="1"/>
  <c r="M17" i="2" l="1"/>
  <c r="F62" i="2"/>
</calcChain>
</file>

<file path=xl/sharedStrings.xml><?xml version="1.0" encoding="utf-8"?>
<sst xmlns="http://schemas.openxmlformats.org/spreadsheetml/2006/main" count="443" uniqueCount="138">
  <si>
    <t>Balance General</t>
  </si>
  <si>
    <t>Del 1° de enero al 31 de diciembre de 2025.</t>
  </si>
  <si>
    <t>(expresado en colones costarricenses)</t>
  </si>
  <si>
    <t>ACTIVOS</t>
  </si>
  <si>
    <t>Caja y Bancos</t>
  </si>
  <si>
    <t>Caja</t>
  </si>
  <si>
    <t>Bancos</t>
  </si>
  <si>
    <t>Clientes</t>
  </si>
  <si>
    <t>Inventarios</t>
  </si>
  <si>
    <t>Empresa de Ejemplo S.A.</t>
  </si>
  <si>
    <t>1</t>
  </si>
  <si>
    <t>Activos Corrientes</t>
  </si>
  <si>
    <t>1.1.1</t>
  </si>
  <si>
    <t>1.1.1.1</t>
  </si>
  <si>
    <t>1.1.1.2</t>
  </si>
  <si>
    <t>1.1.1.2.1</t>
  </si>
  <si>
    <t>1.1.1.2.2</t>
  </si>
  <si>
    <t>1.1.1.2.3</t>
  </si>
  <si>
    <t>Banco Nacional</t>
  </si>
  <si>
    <t>Bancio de Costa Rica</t>
  </si>
  <si>
    <t>Bac San José</t>
  </si>
  <si>
    <t>Inversiones</t>
  </si>
  <si>
    <t>1.1.2</t>
  </si>
  <si>
    <t>Cuentas por cobrar</t>
  </si>
  <si>
    <t>1.1.3</t>
  </si>
  <si>
    <t>1.1.4</t>
  </si>
  <si>
    <t>1.1.5</t>
  </si>
  <si>
    <t>Gastos pagados por anticipado</t>
  </si>
  <si>
    <t>Activos no corrientes</t>
  </si>
  <si>
    <t>Propiedad, planta y equipo</t>
  </si>
  <si>
    <t>Activos intangibles</t>
  </si>
  <si>
    <t>Activos por impuestos diferidos</t>
  </si>
  <si>
    <t>Inversiones a largo plazo</t>
  </si>
  <si>
    <t>1.1.3.1</t>
  </si>
  <si>
    <t>1.1.3.2</t>
  </si>
  <si>
    <t>Deudores diversos</t>
  </si>
  <si>
    <t>1.1.4.1</t>
  </si>
  <si>
    <t>Mercancías</t>
  </si>
  <si>
    <t>1.2.1</t>
  </si>
  <si>
    <t>Terrenos</t>
  </si>
  <si>
    <t>Edificios</t>
  </si>
  <si>
    <t>Véhiculos</t>
  </si>
  <si>
    <t>1.2.1.1</t>
  </si>
  <si>
    <t>1.2.1.2</t>
  </si>
  <si>
    <t>1.2.1.3</t>
  </si>
  <si>
    <t>1.2.1.4</t>
  </si>
  <si>
    <t>Maquinaría y equipo</t>
  </si>
  <si>
    <t>1.2.2</t>
  </si>
  <si>
    <t>1.2.3</t>
  </si>
  <si>
    <t>1.2.4</t>
  </si>
  <si>
    <t>PASIVO</t>
  </si>
  <si>
    <t>Pasivos corrientes</t>
  </si>
  <si>
    <t>Impuestos por pagar</t>
  </si>
  <si>
    <t>Prestamos bancarios</t>
  </si>
  <si>
    <t>Provisiones y retenciones</t>
  </si>
  <si>
    <t>IVA por pagar</t>
  </si>
  <si>
    <t>Pasivos no corrientes</t>
  </si>
  <si>
    <t>Documentos por pagar a largo plazo</t>
  </si>
  <si>
    <t>Hipotecas</t>
  </si>
  <si>
    <t>Patrimonio</t>
  </si>
  <si>
    <t>Utilidades acumuladas</t>
  </si>
  <si>
    <t>Utilidad del ejercicio</t>
  </si>
  <si>
    <t>Impuestos a favor</t>
  </si>
  <si>
    <t>1.1.6</t>
  </si>
  <si>
    <t>IVA a favor</t>
  </si>
  <si>
    <t>1.1.5.2</t>
  </si>
  <si>
    <t>Pagos parciales de renta</t>
  </si>
  <si>
    <t>2.1.1</t>
  </si>
  <si>
    <t>2.1.2</t>
  </si>
  <si>
    <t>2.1.3</t>
  </si>
  <si>
    <t>2.1.4</t>
  </si>
  <si>
    <t>Impuesto de renta por pagar</t>
  </si>
  <si>
    <t>2.1.2.1</t>
  </si>
  <si>
    <t>2.1.2.2</t>
  </si>
  <si>
    <t>Cuentas por pagar</t>
  </si>
  <si>
    <t>2.1.1.1</t>
  </si>
  <si>
    <t>Proveeores</t>
  </si>
  <si>
    <t>Acreedores diversos</t>
  </si>
  <si>
    <t>2.1.1.2</t>
  </si>
  <si>
    <t>2.2.1</t>
  </si>
  <si>
    <t>2.2.2</t>
  </si>
  <si>
    <t>2.2.3</t>
  </si>
  <si>
    <t>Impuestos diferidos</t>
  </si>
  <si>
    <t>Capital social</t>
  </si>
  <si>
    <t>Reservas</t>
  </si>
  <si>
    <t>Aportes de capital</t>
  </si>
  <si>
    <t>Naturaleza de la cuenta</t>
  </si>
  <si>
    <t>Deudora</t>
  </si>
  <si>
    <t>Acreedora</t>
  </si>
  <si>
    <t>Estado de Resultados</t>
  </si>
  <si>
    <t>Ingresos</t>
  </si>
  <si>
    <t>Ventas</t>
  </si>
  <si>
    <t>Servicios</t>
  </si>
  <si>
    <t>Costo de Venta</t>
  </si>
  <si>
    <t>Gastos operativos</t>
  </si>
  <si>
    <t>Salarios</t>
  </si>
  <si>
    <t>Aguinaldos</t>
  </si>
  <si>
    <t>Seguridad social</t>
  </si>
  <si>
    <t>Honorarios profesionales</t>
  </si>
  <si>
    <t>Arrendandamiento de oficina</t>
  </si>
  <si>
    <t>Energía eléctrica</t>
  </si>
  <si>
    <t>Internet</t>
  </si>
  <si>
    <t>Limpieza</t>
  </si>
  <si>
    <t>Mantenimiento de oficina</t>
  </si>
  <si>
    <t>Gastos financieros</t>
  </si>
  <si>
    <t>Ingresos financieros</t>
  </si>
  <si>
    <t>Productos financieros</t>
  </si>
  <si>
    <t>Otros ingresos y gastos</t>
  </si>
  <si>
    <t>Diferencial cambiario</t>
  </si>
  <si>
    <t>Diferencial en venta de activos</t>
  </si>
  <si>
    <t>BG</t>
  </si>
  <si>
    <t>ER</t>
  </si>
  <si>
    <t>Notas:</t>
  </si>
  <si>
    <t>Las cuentas deudoras aumentan cuando se cargan y disminuyen cuando se abonan</t>
  </si>
  <si>
    <t>Las cuentas acreedoras aumentan cuando se abonan y disminuyen cuando se cargan</t>
  </si>
  <si>
    <t>Cargo</t>
  </si>
  <si>
    <t>Abono</t>
  </si>
  <si>
    <t>Activos</t>
  </si>
  <si>
    <t>Pasivos</t>
  </si>
  <si>
    <t>Capital</t>
  </si>
  <si>
    <t>Costos</t>
  </si>
  <si>
    <t>Cuentas de Balance</t>
  </si>
  <si>
    <t>Cuentas de Resultados</t>
  </si>
  <si>
    <t>( + )</t>
  </si>
  <si>
    <t>( - )</t>
  </si>
  <si>
    <t>Detalle</t>
  </si>
  <si>
    <t>Acumulativa</t>
  </si>
  <si>
    <t>Total activo</t>
  </si>
  <si>
    <t>Total pasivo</t>
  </si>
  <si>
    <t>Total capital</t>
  </si>
  <si>
    <t>Pasivo más capital</t>
  </si>
  <si>
    <t>Total ingresos</t>
  </si>
  <si>
    <t>Costo total</t>
  </si>
  <si>
    <t>Total gastos</t>
  </si>
  <si>
    <t>Utilidad bruta</t>
  </si>
  <si>
    <t>Total productos financieros</t>
  </si>
  <si>
    <t>Total otros ingresos y gastos</t>
  </si>
  <si>
    <t>Utilidad del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</si>
</sst>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5" fillId="0" borderId="0" xfId="0" applyNumberFormat="1" applyFont="1"/>
    <xf numFmtId="0" fontId="6" fillId="0" borderId="0" xfId="0" applyFont="1" applyAlignment="1">
      <alignment horizontal="left"/>
    </xf>
    <xf numFmtId="0" fontId="3" fillId="0" borderId="0" xfId="0" applyNumberFormat="1" applyFont="1"/>
    <xf numFmtId="0" fontId="6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9" fontId="5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left"/>
    </xf>
    <xf numFmtId="0" fontId="8" fillId="3" borderId="0" xfId="0" applyFont="1" applyFill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right"/>
    </xf>
    <xf numFmtId="49" fontId="5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8" fillId="3" borderId="0" xfId="0" applyFont="1" applyFill="1"/>
    <xf numFmtId="0" fontId="3" fillId="3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164" fontId="3" fillId="0" borderId="0" xfId="1" applyFont="1"/>
    <xf numFmtId="164" fontId="8" fillId="0" borderId="0" xfId="1" applyFont="1" applyAlignment="1">
      <alignment horizontal="center"/>
    </xf>
    <xf numFmtId="164" fontId="3" fillId="0" borderId="0" xfId="1" applyFont="1" applyAlignment="1">
      <alignment horizontal="center"/>
    </xf>
    <xf numFmtId="164" fontId="8" fillId="0" borderId="0" xfId="1" applyFont="1"/>
    <xf numFmtId="164" fontId="3" fillId="0" borderId="1" xfId="1" applyFont="1" applyBorder="1"/>
    <xf numFmtId="164" fontId="3" fillId="0" borderId="0" xfId="1" applyFont="1" applyBorder="1"/>
    <xf numFmtId="0" fontId="9" fillId="3" borderId="0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workbookViewId="0">
      <selection activeCell="D57" sqref="D57"/>
    </sheetView>
  </sheetViews>
  <sheetFormatPr baseColWidth="10" defaultColWidth="11.453125" defaultRowHeight="14.5" x14ac:dyDescent="0.35"/>
  <cols>
    <col min="1" max="1" width="11.453125" style="1"/>
    <col min="2" max="2" width="11.453125" style="2"/>
    <col min="3" max="3" width="7.26953125" style="3" customWidth="1"/>
    <col min="4" max="4" width="29" style="8" bestFit="1" customWidth="1"/>
    <col min="5" max="5" width="6" style="2" customWidth="1"/>
    <col min="6" max="9" width="11.453125" style="2"/>
    <col min="10" max="10" width="7.26953125" style="3" customWidth="1"/>
    <col min="11" max="11" width="29" style="8" bestFit="1" customWidth="1"/>
    <col min="12" max="12" width="6" style="2" customWidth="1"/>
    <col min="13" max="16384" width="11.453125" style="2"/>
  </cols>
  <sheetData>
    <row r="1" spans="2:15" s="2" customFormat="1" ht="13" x14ac:dyDescent="0.3">
      <c r="C1" s="3"/>
      <c r="D1" s="10" t="s">
        <v>9</v>
      </c>
      <c r="E1" s="11"/>
      <c r="J1" s="3"/>
      <c r="K1" s="10" t="s">
        <v>9</v>
      </c>
      <c r="L1" s="11"/>
    </row>
    <row r="2" spans="2:15" s="2" customFormat="1" ht="13" x14ac:dyDescent="0.3">
      <c r="C2" s="3"/>
      <c r="D2" s="12" t="s">
        <v>0</v>
      </c>
      <c r="E2" s="11"/>
      <c r="J2" s="3"/>
      <c r="K2" s="12" t="s">
        <v>89</v>
      </c>
      <c r="L2" s="11"/>
    </row>
    <row r="3" spans="2:15" s="2" customFormat="1" ht="13" x14ac:dyDescent="0.3">
      <c r="C3" s="3"/>
      <c r="D3" s="10" t="s">
        <v>1</v>
      </c>
      <c r="E3" s="11"/>
      <c r="J3" s="3"/>
      <c r="K3" s="10" t="s">
        <v>1</v>
      </c>
      <c r="L3" s="11"/>
    </row>
    <row r="4" spans="2:15" s="2" customFormat="1" ht="13" x14ac:dyDescent="0.3">
      <c r="C4" s="3"/>
      <c r="D4" s="13" t="s">
        <v>2</v>
      </c>
      <c r="E4" s="11"/>
      <c r="J4" s="3"/>
      <c r="K4" s="13" t="s">
        <v>2</v>
      </c>
      <c r="L4" s="11"/>
    </row>
    <row r="5" spans="2:15" s="2" customFormat="1" ht="13" x14ac:dyDescent="0.3">
      <c r="B5" s="14"/>
      <c r="C5" s="3"/>
      <c r="D5" s="15"/>
      <c r="E5" s="16"/>
      <c r="J5" s="3"/>
      <c r="K5" s="15"/>
      <c r="L5" s="16"/>
    </row>
    <row r="6" spans="2:15" s="2" customFormat="1" ht="13" x14ac:dyDescent="0.3">
      <c r="B6" s="11"/>
      <c r="C6" s="3"/>
      <c r="D6" s="17"/>
      <c r="E6" s="11"/>
      <c r="F6" s="33" t="s">
        <v>86</v>
      </c>
      <c r="G6" s="33"/>
      <c r="J6" s="3"/>
      <c r="K6" s="17"/>
      <c r="L6" s="11"/>
      <c r="M6" s="33" t="s">
        <v>86</v>
      </c>
      <c r="N6" s="33"/>
    </row>
    <row r="7" spans="2:15" s="2" customFormat="1" ht="13" x14ac:dyDescent="0.3">
      <c r="B7" s="11"/>
      <c r="C7" s="3"/>
      <c r="D7" s="17"/>
      <c r="E7" s="11"/>
      <c r="F7" s="18"/>
      <c r="G7" s="18"/>
      <c r="J7" s="3"/>
      <c r="K7" s="17"/>
      <c r="L7" s="11"/>
      <c r="M7" s="18"/>
      <c r="N7" s="18"/>
    </row>
    <row r="8" spans="2:15" s="19" customFormat="1" ht="13" x14ac:dyDescent="0.3">
      <c r="C8" s="20" t="s">
        <v>10</v>
      </c>
      <c r="D8" s="15" t="s">
        <v>3</v>
      </c>
      <c r="E8" s="21" t="s">
        <v>110</v>
      </c>
      <c r="F8" s="22" t="s">
        <v>87</v>
      </c>
      <c r="G8" s="23"/>
      <c r="J8" s="20">
        <v>4</v>
      </c>
      <c r="K8" s="15" t="s">
        <v>90</v>
      </c>
      <c r="L8" s="21" t="s">
        <v>111</v>
      </c>
      <c r="M8" s="22"/>
      <c r="N8" s="22" t="s">
        <v>88</v>
      </c>
    </row>
    <row r="9" spans="2:15" s="19" customFormat="1" ht="23.25" customHeight="1" x14ac:dyDescent="0.3">
      <c r="C9" s="20">
        <v>1.1000000000000001</v>
      </c>
      <c r="D9" s="15" t="s">
        <v>11</v>
      </c>
      <c r="E9" s="21" t="s">
        <v>110</v>
      </c>
      <c r="F9" s="22" t="s">
        <v>87</v>
      </c>
      <c r="G9" s="23"/>
      <c r="J9" s="3">
        <v>1.1000000000000001</v>
      </c>
      <c r="K9" s="5" t="s">
        <v>91</v>
      </c>
      <c r="L9" s="21" t="s">
        <v>111</v>
      </c>
      <c r="M9" s="22"/>
      <c r="N9" s="22" t="s">
        <v>88</v>
      </c>
    </row>
    <row r="10" spans="2:15" s="19" customFormat="1" ht="13" x14ac:dyDescent="0.3">
      <c r="C10" s="20" t="s">
        <v>12</v>
      </c>
      <c r="D10" s="15" t="s">
        <v>4</v>
      </c>
      <c r="E10" s="21" t="s">
        <v>110</v>
      </c>
      <c r="F10" s="22" t="s">
        <v>87</v>
      </c>
      <c r="G10" s="23"/>
      <c r="J10" s="3" t="s">
        <v>12</v>
      </c>
      <c r="K10" s="5" t="s">
        <v>92</v>
      </c>
      <c r="L10" s="21" t="s">
        <v>111</v>
      </c>
      <c r="M10" s="22"/>
      <c r="N10" s="22" t="s">
        <v>88</v>
      </c>
    </row>
    <row r="11" spans="2:15" s="2" customFormat="1" ht="13" x14ac:dyDescent="0.3">
      <c r="B11" s="2" t="s">
        <v>125</v>
      </c>
      <c r="C11" s="3" t="s">
        <v>13</v>
      </c>
      <c r="D11" s="5" t="s">
        <v>5</v>
      </c>
      <c r="E11" s="21" t="s">
        <v>110</v>
      </c>
      <c r="F11" s="22" t="s">
        <v>87</v>
      </c>
      <c r="G11" s="24"/>
      <c r="J11" s="3"/>
      <c r="K11" s="8"/>
      <c r="L11" s="21"/>
      <c r="M11" s="24"/>
      <c r="N11" s="24"/>
    </row>
    <row r="12" spans="2:15" s="19" customFormat="1" ht="13" x14ac:dyDescent="0.3">
      <c r="B12" s="19" t="s">
        <v>126</v>
      </c>
      <c r="C12" s="20" t="s">
        <v>14</v>
      </c>
      <c r="D12" s="15" t="s">
        <v>6</v>
      </c>
      <c r="E12" s="21" t="s">
        <v>110</v>
      </c>
      <c r="F12" s="22" t="s">
        <v>87</v>
      </c>
      <c r="G12" s="23"/>
      <c r="J12" s="20">
        <v>5</v>
      </c>
      <c r="K12" s="15" t="s">
        <v>93</v>
      </c>
      <c r="L12" s="21" t="s">
        <v>111</v>
      </c>
      <c r="M12" s="22" t="s">
        <v>87</v>
      </c>
      <c r="N12" s="24"/>
      <c r="O12" s="2"/>
    </row>
    <row r="13" spans="2:15" s="2" customFormat="1" ht="13" x14ac:dyDescent="0.3">
      <c r="B13" s="2" t="s">
        <v>125</v>
      </c>
      <c r="C13" s="3" t="s">
        <v>15</v>
      </c>
      <c r="D13" s="5" t="s">
        <v>18</v>
      </c>
      <c r="E13" s="21" t="s">
        <v>110</v>
      </c>
      <c r="F13" s="22" t="s">
        <v>87</v>
      </c>
      <c r="G13" s="24"/>
      <c r="J13" s="3"/>
      <c r="K13" s="8"/>
      <c r="L13" s="21"/>
      <c r="M13" s="24"/>
      <c r="N13" s="24"/>
    </row>
    <row r="14" spans="2:15" s="2" customFormat="1" ht="13" x14ac:dyDescent="0.3">
      <c r="B14" s="2" t="s">
        <v>125</v>
      </c>
      <c r="C14" s="3" t="s">
        <v>16</v>
      </c>
      <c r="D14" s="5" t="s">
        <v>19</v>
      </c>
      <c r="E14" s="21" t="s">
        <v>110</v>
      </c>
      <c r="F14" s="22" t="s">
        <v>87</v>
      </c>
      <c r="G14" s="24"/>
      <c r="J14" s="20">
        <v>6</v>
      </c>
      <c r="K14" s="15" t="s">
        <v>94</v>
      </c>
      <c r="L14" s="21" t="s">
        <v>111</v>
      </c>
      <c r="M14" s="22" t="s">
        <v>87</v>
      </c>
      <c r="N14" s="24"/>
    </row>
    <row r="15" spans="2:15" s="2" customFormat="1" ht="13" x14ac:dyDescent="0.3">
      <c r="B15" s="2" t="s">
        <v>125</v>
      </c>
      <c r="C15" s="3" t="s">
        <v>17</v>
      </c>
      <c r="D15" s="5" t="s">
        <v>20</v>
      </c>
      <c r="E15" s="21" t="s">
        <v>110</v>
      </c>
      <c r="F15" s="22" t="s">
        <v>87</v>
      </c>
      <c r="G15" s="24"/>
      <c r="J15" s="3">
        <v>6.1</v>
      </c>
      <c r="K15" s="5" t="s">
        <v>95</v>
      </c>
      <c r="L15" s="21" t="s">
        <v>111</v>
      </c>
      <c r="M15" s="22" t="s">
        <v>87</v>
      </c>
      <c r="N15" s="24"/>
    </row>
    <row r="16" spans="2:15" s="19" customFormat="1" ht="13" x14ac:dyDescent="0.3">
      <c r="B16" s="19" t="s">
        <v>126</v>
      </c>
      <c r="C16" s="20" t="s">
        <v>22</v>
      </c>
      <c r="D16" s="15" t="s">
        <v>21</v>
      </c>
      <c r="E16" s="21" t="s">
        <v>110</v>
      </c>
      <c r="F16" s="22" t="s">
        <v>87</v>
      </c>
      <c r="G16" s="23"/>
      <c r="J16" s="3">
        <v>6.2</v>
      </c>
      <c r="K16" s="5" t="s">
        <v>96</v>
      </c>
      <c r="L16" s="21" t="s">
        <v>111</v>
      </c>
      <c r="M16" s="22" t="s">
        <v>87</v>
      </c>
      <c r="N16" s="24"/>
    </row>
    <row r="17" spans="2:15" s="19" customFormat="1" ht="13" x14ac:dyDescent="0.3">
      <c r="B17" s="19" t="s">
        <v>126</v>
      </c>
      <c r="C17" s="20" t="s">
        <v>24</v>
      </c>
      <c r="D17" s="15" t="s">
        <v>23</v>
      </c>
      <c r="E17" s="21" t="s">
        <v>110</v>
      </c>
      <c r="F17" s="22" t="s">
        <v>87</v>
      </c>
      <c r="G17" s="23"/>
      <c r="J17" s="3">
        <v>6.3</v>
      </c>
      <c r="K17" s="5" t="s">
        <v>97</v>
      </c>
      <c r="L17" s="21" t="s">
        <v>111</v>
      </c>
      <c r="M17" s="22" t="s">
        <v>87</v>
      </c>
      <c r="N17" s="24"/>
    </row>
    <row r="18" spans="2:15" s="2" customFormat="1" ht="13" x14ac:dyDescent="0.3">
      <c r="B18" s="2" t="s">
        <v>125</v>
      </c>
      <c r="C18" s="3" t="s">
        <v>33</v>
      </c>
      <c r="D18" s="5" t="s">
        <v>7</v>
      </c>
      <c r="E18" s="21" t="s">
        <v>110</v>
      </c>
      <c r="F18" s="22" t="s">
        <v>87</v>
      </c>
      <c r="G18" s="24"/>
      <c r="J18" s="3">
        <v>6.4</v>
      </c>
      <c r="K18" s="5" t="s">
        <v>98</v>
      </c>
      <c r="L18" s="21" t="s">
        <v>111</v>
      </c>
      <c r="M18" s="22" t="s">
        <v>87</v>
      </c>
      <c r="N18" s="23"/>
      <c r="O18" s="19"/>
    </row>
    <row r="19" spans="2:15" s="2" customFormat="1" ht="13" x14ac:dyDescent="0.3">
      <c r="B19" s="2" t="s">
        <v>125</v>
      </c>
      <c r="C19" s="3" t="s">
        <v>34</v>
      </c>
      <c r="D19" s="5" t="s">
        <v>35</v>
      </c>
      <c r="E19" s="21" t="s">
        <v>110</v>
      </c>
      <c r="F19" s="22" t="s">
        <v>87</v>
      </c>
      <c r="G19" s="24"/>
      <c r="J19" s="3">
        <v>6.5</v>
      </c>
      <c r="K19" s="5" t="s">
        <v>99</v>
      </c>
      <c r="L19" s="21" t="s">
        <v>111</v>
      </c>
      <c r="M19" s="22" t="s">
        <v>87</v>
      </c>
      <c r="N19" s="24"/>
    </row>
    <row r="20" spans="2:15" s="19" customFormat="1" ht="13" x14ac:dyDescent="0.3">
      <c r="B20" s="19" t="s">
        <v>126</v>
      </c>
      <c r="C20" s="20" t="s">
        <v>25</v>
      </c>
      <c r="D20" s="15" t="s">
        <v>8</v>
      </c>
      <c r="E20" s="21" t="s">
        <v>110</v>
      </c>
      <c r="F20" s="22" t="s">
        <v>87</v>
      </c>
      <c r="G20" s="23"/>
      <c r="J20" s="3">
        <v>6.6</v>
      </c>
      <c r="K20" s="5" t="s">
        <v>100</v>
      </c>
      <c r="L20" s="21" t="s">
        <v>111</v>
      </c>
      <c r="M20" s="22" t="s">
        <v>87</v>
      </c>
      <c r="N20" s="24"/>
      <c r="O20" s="2"/>
    </row>
    <row r="21" spans="2:15" s="2" customFormat="1" ht="13" x14ac:dyDescent="0.3">
      <c r="B21" s="2" t="s">
        <v>125</v>
      </c>
      <c r="C21" s="3" t="s">
        <v>36</v>
      </c>
      <c r="D21" s="5" t="s">
        <v>37</v>
      </c>
      <c r="E21" s="21" t="s">
        <v>110</v>
      </c>
      <c r="F21" s="22" t="s">
        <v>87</v>
      </c>
      <c r="G21" s="24"/>
      <c r="J21" s="3">
        <v>6.7</v>
      </c>
      <c r="K21" s="5" t="s">
        <v>101</v>
      </c>
      <c r="L21" s="21" t="s">
        <v>111</v>
      </c>
      <c r="M21" s="22" t="s">
        <v>87</v>
      </c>
      <c r="N21" s="24"/>
    </row>
    <row r="22" spans="2:15" s="19" customFormat="1" ht="13" x14ac:dyDescent="0.3">
      <c r="B22" s="19" t="s">
        <v>126</v>
      </c>
      <c r="C22" s="20" t="s">
        <v>26</v>
      </c>
      <c r="D22" s="15" t="s">
        <v>62</v>
      </c>
      <c r="E22" s="21" t="s">
        <v>110</v>
      </c>
      <c r="F22" s="22" t="s">
        <v>87</v>
      </c>
      <c r="G22" s="23"/>
      <c r="J22" s="3">
        <v>6.8</v>
      </c>
      <c r="K22" s="5" t="s">
        <v>102</v>
      </c>
      <c r="L22" s="21" t="s">
        <v>111</v>
      </c>
      <c r="M22" s="22" t="s">
        <v>87</v>
      </c>
      <c r="N22" s="23"/>
    </row>
    <row r="23" spans="2:15" s="2" customFormat="1" ht="13" x14ac:dyDescent="0.3">
      <c r="B23" s="2" t="s">
        <v>125</v>
      </c>
      <c r="C23" s="3" t="s">
        <v>65</v>
      </c>
      <c r="D23" s="5" t="s">
        <v>64</v>
      </c>
      <c r="E23" s="21" t="s">
        <v>110</v>
      </c>
      <c r="F23" s="22" t="s">
        <v>87</v>
      </c>
      <c r="G23" s="24"/>
      <c r="J23" s="3">
        <v>6.9</v>
      </c>
      <c r="K23" s="5" t="s">
        <v>103</v>
      </c>
      <c r="L23" s="21" t="s">
        <v>111</v>
      </c>
      <c r="M23" s="22" t="s">
        <v>87</v>
      </c>
      <c r="N23" s="23"/>
      <c r="O23" s="19"/>
    </row>
    <row r="24" spans="2:15" s="2" customFormat="1" ht="13" x14ac:dyDescent="0.3">
      <c r="B24" s="2" t="s">
        <v>125</v>
      </c>
      <c r="C24" s="3" t="s">
        <v>65</v>
      </c>
      <c r="D24" s="5" t="s">
        <v>66</v>
      </c>
      <c r="E24" s="21" t="s">
        <v>110</v>
      </c>
      <c r="F24" s="22" t="s">
        <v>87</v>
      </c>
      <c r="G24" s="24"/>
      <c r="J24" s="3"/>
      <c r="K24" s="5"/>
      <c r="L24" s="21"/>
      <c r="M24" s="22"/>
      <c r="N24" s="24"/>
    </row>
    <row r="25" spans="2:15" s="19" customFormat="1" ht="13" x14ac:dyDescent="0.3">
      <c r="B25" s="19" t="s">
        <v>126</v>
      </c>
      <c r="C25" s="20" t="s">
        <v>63</v>
      </c>
      <c r="D25" s="15" t="s">
        <v>27</v>
      </c>
      <c r="E25" s="21" t="s">
        <v>110</v>
      </c>
      <c r="F25" s="22" t="s">
        <v>87</v>
      </c>
      <c r="G25" s="23"/>
      <c r="J25" s="20">
        <v>7</v>
      </c>
      <c r="K25" s="15" t="s">
        <v>106</v>
      </c>
      <c r="L25" s="21" t="s">
        <v>111</v>
      </c>
      <c r="M25" s="22" t="s">
        <v>87</v>
      </c>
      <c r="N25" s="22" t="s">
        <v>88</v>
      </c>
      <c r="O25" s="2"/>
    </row>
    <row r="26" spans="2:15" s="19" customFormat="1" ht="24" customHeight="1" x14ac:dyDescent="0.3">
      <c r="C26" s="20">
        <v>1.2</v>
      </c>
      <c r="D26" s="15" t="s">
        <v>28</v>
      </c>
      <c r="E26" s="21" t="s">
        <v>110</v>
      </c>
      <c r="F26" s="22" t="s">
        <v>87</v>
      </c>
      <c r="G26" s="23"/>
      <c r="J26" s="3">
        <v>7.1</v>
      </c>
      <c r="K26" s="5" t="s">
        <v>105</v>
      </c>
      <c r="L26" s="21" t="s">
        <v>111</v>
      </c>
      <c r="M26" s="22"/>
      <c r="N26" s="22" t="s">
        <v>88</v>
      </c>
    </row>
    <row r="27" spans="2:15" s="19" customFormat="1" ht="13" x14ac:dyDescent="0.3">
      <c r="B27" s="19" t="s">
        <v>126</v>
      </c>
      <c r="C27" s="20" t="s">
        <v>38</v>
      </c>
      <c r="D27" s="15" t="s">
        <v>29</v>
      </c>
      <c r="E27" s="21" t="s">
        <v>110</v>
      </c>
      <c r="F27" s="22" t="s">
        <v>87</v>
      </c>
      <c r="G27" s="23"/>
      <c r="J27" s="3">
        <v>7.2</v>
      </c>
      <c r="K27" s="5" t="s">
        <v>104</v>
      </c>
      <c r="L27" s="21" t="s">
        <v>111</v>
      </c>
      <c r="M27" s="22" t="s">
        <v>87</v>
      </c>
      <c r="N27" s="22"/>
      <c r="O27" s="2"/>
    </row>
    <row r="28" spans="2:15" s="2" customFormat="1" ht="13" x14ac:dyDescent="0.3">
      <c r="B28" s="2" t="s">
        <v>125</v>
      </c>
      <c r="C28" s="3" t="s">
        <v>42</v>
      </c>
      <c r="D28" s="5" t="s">
        <v>39</v>
      </c>
      <c r="E28" s="21" t="s">
        <v>110</v>
      </c>
      <c r="F28" s="22" t="s">
        <v>87</v>
      </c>
      <c r="G28" s="24"/>
      <c r="J28" s="3"/>
      <c r="K28" s="5"/>
      <c r="L28" s="21"/>
      <c r="M28" s="22"/>
      <c r="N28" s="23"/>
      <c r="O28" s="19"/>
    </row>
    <row r="29" spans="2:15" s="2" customFormat="1" ht="13" x14ac:dyDescent="0.3">
      <c r="B29" s="2" t="s">
        <v>125</v>
      </c>
      <c r="C29" s="3" t="s">
        <v>43</v>
      </c>
      <c r="D29" s="5" t="s">
        <v>40</v>
      </c>
      <c r="E29" s="21" t="s">
        <v>110</v>
      </c>
      <c r="F29" s="22" t="s">
        <v>87</v>
      </c>
      <c r="G29" s="24"/>
      <c r="J29" s="20">
        <v>8</v>
      </c>
      <c r="K29" s="15" t="s">
        <v>107</v>
      </c>
      <c r="L29" s="21" t="s">
        <v>111</v>
      </c>
      <c r="M29" s="22" t="s">
        <v>87</v>
      </c>
      <c r="N29" s="22" t="s">
        <v>88</v>
      </c>
    </row>
    <row r="30" spans="2:15" s="2" customFormat="1" ht="13" x14ac:dyDescent="0.3">
      <c r="B30" s="2" t="s">
        <v>125</v>
      </c>
      <c r="C30" s="3" t="s">
        <v>44</v>
      </c>
      <c r="D30" s="5" t="s">
        <v>46</v>
      </c>
      <c r="E30" s="21" t="s">
        <v>110</v>
      </c>
      <c r="F30" s="22" t="s">
        <v>87</v>
      </c>
      <c r="G30" s="24"/>
      <c r="J30" s="3">
        <v>8.1</v>
      </c>
      <c r="K30" s="5" t="s">
        <v>108</v>
      </c>
      <c r="L30" s="21" t="s">
        <v>111</v>
      </c>
      <c r="M30" s="22" t="s">
        <v>87</v>
      </c>
      <c r="N30" s="22" t="s">
        <v>88</v>
      </c>
    </row>
    <row r="31" spans="2:15" s="2" customFormat="1" ht="13" x14ac:dyDescent="0.3">
      <c r="B31" s="2" t="s">
        <v>125</v>
      </c>
      <c r="C31" s="3" t="s">
        <v>45</v>
      </c>
      <c r="D31" s="5" t="s">
        <v>41</v>
      </c>
      <c r="E31" s="21" t="s">
        <v>110</v>
      </c>
      <c r="F31" s="22" t="s">
        <v>87</v>
      </c>
      <c r="G31" s="24"/>
      <c r="J31" s="3">
        <v>8.1</v>
      </c>
      <c r="K31" s="5" t="s">
        <v>109</v>
      </c>
      <c r="L31" s="21" t="s">
        <v>111</v>
      </c>
      <c r="M31" s="22" t="s">
        <v>87</v>
      </c>
      <c r="N31" s="22" t="s">
        <v>88</v>
      </c>
      <c r="O31" s="19"/>
    </row>
    <row r="32" spans="2:15" s="19" customFormat="1" ht="13" x14ac:dyDescent="0.3">
      <c r="B32" s="19" t="s">
        <v>126</v>
      </c>
      <c r="C32" s="20" t="s">
        <v>47</v>
      </c>
      <c r="D32" s="15" t="s">
        <v>30</v>
      </c>
      <c r="E32" s="21" t="s">
        <v>110</v>
      </c>
      <c r="F32" s="22" t="s">
        <v>87</v>
      </c>
      <c r="G32" s="23"/>
      <c r="J32" s="3"/>
      <c r="L32" s="9"/>
      <c r="M32" s="7"/>
    </row>
    <row r="33" spans="2:15" s="2" customFormat="1" ht="13" x14ac:dyDescent="0.3">
      <c r="B33" s="19" t="s">
        <v>126</v>
      </c>
      <c r="C33" s="20" t="s">
        <v>48</v>
      </c>
      <c r="D33" s="15" t="s">
        <v>31</v>
      </c>
      <c r="E33" s="21" t="s">
        <v>110</v>
      </c>
      <c r="F33" s="22" t="s">
        <v>87</v>
      </c>
      <c r="G33" s="24"/>
      <c r="J33" s="3"/>
      <c r="K33" s="5"/>
      <c r="L33" s="9"/>
      <c r="M33" s="7"/>
      <c r="N33" s="19"/>
      <c r="O33" s="19"/>
    </row>
    <row r="34" spans="2:15" s="2" customFormat="1" ht="13" x14ac:dyDescent="0.3">
      <c r="B34" s="19" t="s">
        <v>126</v>
      </c>
      <c r="C34" s="20" t="s">
        <v>49</v>
      </c>
      <c r="D34" s="15" t="s">
        <v>32</v>
      </c>
      <c r="E34" s="21" t="s">
        <v>110</v>
      </c>
      <c r="F34" s="22" t="s">
        <v>87</v>
      </c>
      <c r="G34" s="24"/>
      <c r="J34" s="3"/>
      <c r="K34" s="5"/>
      <c r="L34" s="6"/>
      <c r="M34" s="7"/>
    </row>
    <row r="35" spans="2:15" s="2" customFormat="1" ht="13" x14ac:dyDescent="0.3">
      <c r="C35" s="3"/>
      <c r="D35" s="5"/>
      <c r="E35" s="21"/>
      <c r="F35" s="24"/>
      <c r="G35" s="24"/>
      <c r="J35" s="3"/>
      <c r="K35" s="5"/>
      <c r="L35" s="6"/>
      <c r="M35" s="7"/>
    </row>
    <row r="36" spans="2:15" s="19" customFormat="1" ht="24" customHeight="1" x14ac:dyDescent="0.3">
      <c r="C36" s="20">
        <v>2</v>
      </c>
      <c r="D36" s="15" t="s">
        <v>50</v>
      </c>
      <c r="E36" s="21" t="s">
        <v>110</v>
      </c>
      <c r="F36" s="23"/>
      <c r="G36" s="22" t="s">
        <v>88</v>
      </c>
      <c r="J36" s="3"/>
      <c r="K36" s="5"/>
      <c r="L36" s="6"/>
      <c r="M36" s="7"/>
      <c r="N36" s="2"/>
      <c r="O36" s="2"/>
    </row>
    <row r="37" spans="2:15" s="19" customFormat="1" ht="20.25" customHeight="1" x14ac:dyDescent="0.3">
      <c r="C37" s="20">
        <v>2.1</v>
      </c>
      <c r="D37" s="15" t="s">
        <v>51</v>
      </c>
      <c r="E37" s="21" t="s">
        <v>110</v>
      </c>
      <c r="F37" s="23"/>
      <c r="G37" s="22" t="s">
        <v>88</v>
      </c>
      <c r="J37" s="3"/>
      <c r="K37" s="5"/>
      <c r="L37" s="6"/>
      <c r="M37" s="7"/>
      <c r="N37" s="2"/>
      <c r="O37" s="2"/>
    </row>
    <row r="38" spans="2:15" s="19" customFormat="1" ht="13" x14ac:dyDescent="0.3">
      <c r="B38" s="19" t="s">
        <v>126</v>
      </c>
      <c r="C38" s="20" t="s">
        <v>67</v>
      </c>
      <c r="D38" s="15" t="s">
        <v>74</v>
      </c>
      <c r="E38" s="21" t="s">
        <v>110</v>
      </c>
      <c r="F38" s="23"/>
      <c r="G38" s="22" t="s">
        <v>88</v>
      </c>
      <c r="J38" s="3"/>
      <c r="K38" s="5"/>
      <c r="L38" s="9"/>
      <c r="M38" s="7"/>
    </row>
    <row r="39" spans="2:15" s="2" customFormat="1" ht="13" x14ac:dyDescent="0.3">
      <c r="B39" s="2" t="s">
        <v>125</v>
      </c>
      <c r="C39" s="3" t="s">
        <v>75</v>
      </c>
      <c r="D39" s="5" t="s">
        <v>76</v>
      </c>
      <c r="E39" s="21" t="s">
        <v>110</v>
      </c>
      <c r="F39" s="24"/>
      <c r="G39" s="22" t="s">
        <v>88</v>
      </c>
      <c r="J39" s="20"/>
      <c r="K39" s="15"/>
      <c r="L39" s="6"/>
      <c r="M39" s="7"/>
    </row>
    <row r="40" spans="2:15" s="2" customFormat="1" ht="13" x14ac:dyDescent="0.3">
      <c r="B40" s="2" t="s">
        <v>125</v>
      </c>
      <c r="C40" s="3" t="s">
        <v>78</v>
      </c>
      <c r="D40" s="5" t="s">
        <v>77</v>
      </c>
      <c r="E40" s="21" t="s">
        <v>110</v>
      </c>
      <c r="F40" s="24"/>
      <c r="G40" s="22" t="s">
        <v>88</v>
      </c>
      <c r="J40" s="20"/>
      <c r="K40" s="15"/>
      <c r="L40" s="6"/>
      <c r="M40" s="7"/>
    </row>
    <row r="41" spans="2:15" s="19" customFormat="1" ht="13" x14ac:dyDescent="0.3">
      <c r="B41" s="19" t="s">
        <v>126</v>
      </c>
      <c r="C41" s="20" t="s">
        <v>68</v>
      </c>
      <c r="D41" s="15" t="s">
        <v>52</v>
      </c>
      <c r="E41" s="21" t="s">
        <v>110</v>
      </c>
      <c r="F41" s="23"/>
      <c r="G41" s="22" t="s">
        <v>88</v>
      </c>
      <c r="J41" s="3"/>
      <c r="K41" s="5"/>
      <c r="L41" s="6"/>
      <c r="M41" s="2"/>
      <c r="N41" s="2"/>
      <c r="O41" s="2"/>
    </row>
    <row r="42" spans="2:15" s="2" customFormat="1" ht="13" x14ac:dyDescent="0.3">
      <c r="B42" s="2" t="s">
        <v>125</v>
      </c>
      <c r="C42" s="3" t="s">
        <v>72</v>
      </c>
      <c r="D42" s="5" t="s">
        <v>55</v>
      </c>
      <c r="E42" s="21" t="s">
        <v>110</v>
      </c>
      <c r="F42" s="24"/>
      <c r="G42" s="22" t="s">
        <v>88</v>
      </c>
      <c r="J42" s="20"/>
      <c r="K42" s="15"/>
      <c r="L42" s="9"/>
      <c r="M42" s="19"/>
      <c r="N42" s="7"/>
      <c r="O42" s="19"/>
    </row>
    <row r="43" spans="2:15" s="2" customFormat="1" ht="13" x14ac:dyDescent="0.3">
      <c r="B43" s="2" t="s">
        <v>125</v>
      </c>
      <c r="C43" s="3" t="s">
        <v>73</v>
      </c>
      <c r="D43" s="5" t="s">
        <v>71</v>
      </c>
      <c r="E43" s="21" t="s">
        <v>110</v>
      </c>
      <c r="F43" s="24"/>
      <c r="G43" s="22" t="s">
        <v>88</v>
      </c>
      <c r="J43" s="20"/>
      <c r="K43" s="15"/>
      <c r="L43" s="9"/>
      <c r="M43" s="19"/>
      <c r="N43" s="7"/>
      <c r="O43" s="19"/>
    </row>
    <row r="44" spans="2:15" s="19" customFormat="1" ht="13" x14ac:dyDescent="0.3">
      <c r="B44" s="19" t="s">
        <v>126</v>
      </c>
      <c r="C44" s="20" t="s">
        <v>69</v>
      </c>
      <c r="D44" s="15" t="s">
        <v>53</v>
      </c>
      <c r="E44" s="21" t="s">
        <v>110</v>
      </c>
      <c r="F44" s="23"/>
      <c r="G44" s="22" t="s">
        <v>88</v>
      </c>
      <c r="J44" s="20"/>
      <c r="K44" s="15"/>
      <c r="L44" s="9"/>
      <c r="N44" s="7"/>
    </row>
    <row r="45" spans="2:15" s="19" customFormat="1" ht="13" x14ac:dyDescent="0.3">
      <c r="B45" s="19" t="s">
        <v>126</v>
      </c>
      <c r="C45" s="20" t="s">
        <v>70</v>
      </c>
      <c r="D45" s="15" t="s">
        <v>54</v>
      </c>
      <c r="E45" s="21" t="s">
        <v>110</v>
      </c>
      <c r="F45" s="23"/>
      <c r="G45" s="22" t="s">
        <v>88</v>
      </c>
      <c r="J45" s="3"/>
      <c r="K45" s="5"/>
      <c r="L45" s="6"/>
      <c r="M45" s="2"/>
      <c r="N45" s="7"/>
      <c r="O45" s="2"/>
    </row>
    <row r="46" spans="2:15" s="19" customFormat="1" ht="19.5" customHeight="1" x14ac:dyDescent="0.3">
      <c r="C46" s="20">
        <v>2.2000000000000002</v>
      </c>
      <c r="D46" s="15" t="s">
        <v>56</v>
      </c>
      <c r="E46" s="21" t="s">
        <v>110</v>
      </c>
      <c r="F46" s="23"/>
      <c r="G46" s="22" t="s">
        <v>88</v>
      </c>
      <c r="J46" s="3"/>
      <c r="K46" s="5"/>
      <c r="L46" s="6"/>
      <c r="M46" s="2"/>
      <c r="N46" s="7"/>
      <c r="O46" s="2"/>
    </row>
    <row r="47" spans="2:15" s="2" customFormat="1" ht="13" x14ac:dyDescent="0.3">
      <c r="B47" s="2" t="s">
        <v>125</v>
      </c>
      <c r="C47" s="3" t="s">
        <v>79</v>
      </c>
      <c r="D47" s="5" t="s">
        <v>57</v>
      </c>
      <c r="E47" s="21" t="s">
        <v>110</v>
      </c>
      <c r="F47" s="24"/>
      <c r="G47" s="22" t="s">
        <v>88</v>
      </c>
      <c r="J47" s="20"/>
      <c r="K47" s="15"/>
      <c r="L47" s="9"/>
      <c r="M47" s="19"/>
      <c r="N47" s="7"/>
      <c r="O47" s="19"/>
    </row>
    <row r="48" spans="2:15" s="2" customFormat="1" ht="13" x14ac:dyDescent="0.3">
      <c r="B48" s="2" t="s">
        <v>125</v>
      </c>
      <c r="C48" s="3" t="s">
        <v>80</v>
      </c>
      <c r="D48" s="5" t="s">
        <v>58</v>
      </c>
      <c r="E48" s="21" t="s">
        <v>110</v>
      </c>
      <c r="F48" s="24"/>
      <c r="G48" s="22" t="s">
        <v>88</v>
      </c>
      <c r="J48" s="3"/>
      <c r="K48" s="5"/>
      <c r="L48" s="6"/>
      <c r="N48" s="7"/>
    </row>
    <row r="49" spans="2:15" s="2" customFormat="1" ht="13" x14ac:dyDescent="0.3">
      <c r="B49" s="2" t="s">
        <v>125</v>
      </c>
      <c r="C49" s="3" t="s">
        <v>81</v>
      </c>
      <c r="D49" s="5" t="s">
        <v>82</v>
      </c>
      <c r="E49" s="21" t="s">
        <v>110</v>
      </c>
      <c r="F49" s="24"/>
      <c r="G49" s="22" t="s">
        <v>88</v>
      </c>
      <c r="J49" s="3"/>
      <c r="K49" s="5"/>
      <c r="L49" s="6"/>
      <c r="N49" s="7"/>
    </row>
    <row r="50" spans="2:15" s="2" customFormat="1" ht="13" x14ac:dyDescent="0.3">
      <c r="C50" s="3"/>
      <c r="D50" s="5"/>
      <c r="E50" s="21"/>
      <c r="F50" s="24"/>
      <c r="G50" s="22"/>
      <c r="J50" s="20"/>
      <c r="K50" s="15"/>
      <c r="L50" s="9"/>
      <c r="M50" s="19"/>
      <c r="N50" s="7"/>
      <c r="O50" s="19"/>
    </row>
    <row r="51" spans="2:15" s="19" customFormat="1" ht="18" customHeight="1" x14ac:dyDescent="0.3">
      <c r="C51" s="20">
        <v>3</v>
      </c>
      <c r="D51" s="15" t="s">
        <v>59</v>
      </c>
      <c r="E51" s="21" t="s">
        <v>110</v>
      </c>
      <c r="F51" s="23"/>
      <c r="G51" s="22" t="s">
        <v>88</v>
      </c>
      <c r="J51" s="20"/>
      <c r="K51" s="15"/>
      <c r="L51" s="9"/>
      <c r="N51" s="7"/>
    </row>
    <row r="52" spans="2:15" s="2" customFormat="1" ht="13" x14ac:dyDescent="0.3">
      <c r="B52" s="2" t="s">
        <v>125</v>
      </c>
      <c r="C52" s="3">
        <v>3.1</v>
      </c>
      <c r="D52" s="5" t="s">
        <v>83</v>
      </c>
      <c r="E52" s="21" t="s">
        <v>110</v>
      </c>
      <c r="F52" s="24"/>
      <c r="G52" s="22" t="s">
        <v>88</v>
      </c>
      <c r="J52" s="20"/>
      <c r="K52" s="15"/>
      <c r="L52" s="9"/>
      <c r="M52" s="19"/>
      <c r="N52" s="7"/>
      <c r="O52" s="19"/>
    </row>
    <row r="53" spans="2:15" s="2" customFormat="1" ht="13" x14ac:dyDescent="0.3">
      <c r="B53" s="2" t="s">
        <v>125</v>
      </c>
      <c r="C53" s="3">
        <v>3.2</v>
      </c>
      <c r="D53" s="5" t="s">
        <v>85</v>
      </c>
      <c r="E53" s="21" t="s">
        <v>110</v>
      </c>
      <c r="F53" s="24"/>
      <c r="G53" s="22" t="s">
        <v>88</v>
      </c>
      <c r="J53" s="3"/>
      <c r="K53" s="5"/>
      <c r="L53" s="6"/>
      <c r="N53" s="7"/>
    </row>
    <row r="54" spans="2:15" s="2" customFormat="1" ht="13" x14ac:dyDescent="0.3">
      <c r="B54" s="2" t="s">
        <v>125</v>
      </c>
      <c r="C54" s="3">
        <v>3.3</v>
      </c>
      <c r="D54" s="5" t="s">
        <v>84</v>
      </c>
      <c r="E54" s="21" t="s">
        <v>110</v>
      </c>
      <c r="F54" s="24"/>
      <c r="G54" s="22" t="s">
        <v>88</v>
      </c>
      <c r="J54" s="3"/>
      <c r="K54" s="5"/>
      <c r="L54" s="6"/>
      <c r="N54" s="7"/>
    </row>
    <row r="55" spans="2:15" s="2" customFormat="1" ht="13" x14ac:dyDescent="0.3">
      <c r="B55" s="2" t="s">
        <v>125</v>
      </c>
      <c r="C55" s="3">
        <v>3.4</v>
      </c>
      <c r="D55" s="5" t="s">
        <v>60</v>
      </c>
      <c r="E55" s="21" t="s">
        <v>110</v>
      </c>
      <c r="F55" s="24"/>
      <c r="G55" s="22" t="s">
        <v>88</v>
      </c>
      <c r="J55" s="3"/>
      <c r="K55" s="5"/>
      <c r="L55" s="6"/>
      <c r="N55" s="7"/>
    </row>
    <row r="56" spans="2:15" s="2" customFormat="1" ht="13" x14ac:dyDescent="0.3">
      <c r="B56" s="2" t="s">
        <v>125</v>
      </c>
      <c r="C56" s="3">
        <v>3.5</v>
      </c>
      <c r="D56" s="5" t="s">
        <v>61</v>
      </c>
      <c r="E56" s="21" t="s">
        <v>110</v>
      </c>
      <c r="F56" s="24"/>
      <c r="G56" s="22" t="s">
        <v>88</v>
      </c>
      <c r="J56" s="3"/>
      <c r="K56" s="5"/>
      <c r="L56" s="6"/>
      <c r="N56" s="7"/>
    </row>
    <row r="57" spans="2:15" s="2" customFormat="1" ht="13" x14ac:dyDescent="0.3">
      <c r="C57" s="3"/>
      <c r="D57" s="8"/>
      <c r="J57" s="20"/>
      <c r="K57" s="15"/>
      <c r="L57" s="9"/>
      <c r="M57" s="19"/>
      <c r="N57" s="7"/>
      <c r="O57" s="19"/>
    </row>
    <row r="58" spans="2:15" s="2" customFormat="1" ht="13" x14ac:dyDescent="0.3">
      <c r="C58" s="3"/>
      <c r="D58" s="8"/>
      <c r="J58" s="3"/>
      <c r="K58" s="5"/>
      <c r="L58" s="6"/>
      <c r="N58" s="7"/>
    </row>
    <row r="59" spans="2:15" s="2" customFormat="1" ht="13" x14ac:dyDescent="0.3">
      <c r="C59" s="3"/>
      <c r="D59" s="4" t="s">
        <v>112</v>
      </c>
      <c r="J59" s="3"/>
      <c r="K59" s="5"/>
      <c r="L59" s="6"/>
      <c r="N59" s="7"/>
    </row>
    <row r="60" spans="2:15" s="2" customFormat="1" ht="13" x14ac:dyDescent="0.3">
      <c r="C60" s="3"/>
      <c r="D60" s="8" t="s">
        <v>113</v>
      </c>
      <c r="J60" s="3"/>
      <c r="K60" s="5"/>
      <c r="L60" s="6"/>
      <c r="N60" s="7"/>
    </row>
    <row r="61" spans="2:15" s="2" customFormat="1" ht="13" x14ac:dyDescent="0.3">
      <c r="C61" s="3"/>
      <c r="D61" s="8" t="s">
        <v>114</v>
      </c>
      <c r="J61" s="3"/>
      <c r="K61" s="5"/>
      <c r="L61" s="9"/>
      <c r="N61" s="7"/>
    </row>
    <row r="62" spans="2:15" s="2" customFormat="1" ht="13" x14ac:dyDescent="0.3">
      <c r="C62" s="3"/>
      <c r="D62" s="8"/>
      <c r="J62" s="3"/>
      <c r="K62" s="5"/>
      <c r="L62" s="9"/>
      <c r="N62" s="7"/>
    </row>
    <row r="63" spans="2:15" s="14" customFormat="1" ht="13" x14ac:dyDescent="0.3">
      <c r="C63" s="26"/>
      <c r="D63" s="26"/>
      <c r="F63" s="14" t="s">
        <v>115</v>
      </c>
      <c r="G63" s="14" t="s">
        <v>116</v>
      </c>
      <c r="J63" s="26"/>
      <c r="K63" s="26"/>
    </row>
    <row r="64" spans="2:15" s="14" customFormat="1" ht="13" x14ac:dyDescent="0.3">
      <c r="C64" s="26"/>
      <c r="D64" s="26" t="s">
        <v>121</v>
      </c>
      <c r="J64" s="26"/>
      <c r="K64" s="26"/>
    </row>
    <row r="65" spans="3:11" s="2" customFormat="1" ht="13" x14ac:dyDescent="0.3">
      <c r="C65" s="3"/>
      <c r="D65" s="8" t="s">
        <v>117</v>
      </c>
      <c r="F65" s="7" t="s">
        <v>123</v>
      </c>
      <c r="G65" s="7" t="s">
        <v>124</v>
      </c>
      <c r="J65" s="3"/>
      <c r="K65" s="8"/>
    </row>
    <row r="66" spans="3:11" s="2" customFormat="1" ht="13" x14ac:dyDescent="0.3">
      <c r="C66" s="3"/>
      <c r="D66" s="8" t="s">
        <v>118</v>
      </c>
      <c r="F66" s="7" t="s">
        <v>124</v>
      </c>
      <c r="G66" s="7" t="s">
        <v>123</v>
      </c>
      <c r="J66" s="3"/>
      <c r="K66" s="8"/>
    </row>
    <row r="67" spans="3:11" s="2" customFormat="1" ht="13" x14ac:dyDescent="0.3">
      <c r="C67" s="3"/>
      <c r="D67" s="8" t="s">
        <v>119</v>
      </c>
      <c r="F67" s="7" t="s">
        <v>124</v>
      </c>
      <c r="G67" s="7" t="s">
        <v>123</v>
      </c>
      <c r="J67" s="3"/>
      <c r="K67" s="8"/>
    </row>
    <row r="68" spans="3:11" s="2" customFormat="1" ht="13" x14ac:dyDescent="0.3">
      <c r="C68" s="3"/>
      <c r="D68" s="8"/>
      <c r="F68" s="7"/>
      <c r="G68" s="7"/>
      <c r="J68" s="3"/>
      <c r="K68" s="8"/>
    </row>
    <row r="69" spans="3:11" s="2" customFormat="1" ht="13" x14ac:dyDescent="0.3">
      <c r="C69" s="3"/>
      <c r="D69" s="26" t="s">
        <v>122</v>
      </c>
      <c r="F69" s="7"/>
      <c r="G69" s="7"/>
      <c r="J69" s="3"/>
      <c r="K69" s="8"/>
    </row>
    <row r="70" spans="3:11" s="2" customFormat="1" ht="13" x14ac:dyDescent="0.3">
      <c r="C70" s="3"/>
      <c r="D70" s="8" t="s">
        <v>90</v>
      </c>
      <c r="F70" s="7" t="s">
        <v>124</v>
      </c>
      <c r="G70" s="7" t="s">
        <v>123</v>
      </c>
      <c r="J70" s="3"/>
      <c r="K70" s="8"/>
    </row>
    <row r="71" spans="3:11" s="2" customFormat="1" ht="13" x14ac:dyDescent="0.3">
      <c r="C71" s="3"/>
      <c r="D71" s="8" t="s">
        <v>120</v>
      </c>
      <c r="F71" s="7" t="s">
        <v>123</v>
      </c>
      <c r="G71" s="7" t="s">
        <v>124</v>
      </c>
      <c r="J71" s="3"/>
      <c r="K71" s="8"/>
    </row>
    <row r="72" spans="3:11" s="2" customFormat="1" ht="13" x14ac:dyDescent="0.3">
      <c r="C72" s="3"/>
      <c r="D72" s="8" t="s">
        <v>94</v>
      </c>
      <c r="F72" s="7" t="s">
        <v>123</v>
      </c>
      <c r="G72" s="7" t="s">
        <v>124</v>
      </c>
      <c r="J72" s="3"/>
      <c r="K72" s="8"/>
    </row>
    <row r="73" spans="3:11" s="2" customFormat="1" ht="13" x14ac:dyDescent="0.3">
      <c r="C73" s="3"/>
      <c r="D73" s="8" t="s">
        <v>106</v>
      </c>
      <c r="F73" s="7" t="s">
        <v>124</v>
      </c>
      <c r="G73" s="7" t="s">
        <v>123</v>
      </c>
      <c r="J73" s="3"/>
      <c r="K73" s="8"/>
    </row>
    <row r="74" spans="3:11" s="2" customFormat="1" ht="13" x14ac:dyDescent="0.3">
      <c r="C74" s="3"/>
      <c r="D74" s="8" t="s">
        <v>107</v>
      </c>
      <c r="F74" s="7" t="s">
        <v>124</v>
      </c>
      <c r="G74" s="7" t="s">
        <v>123</v>
      </c>
      <c r="J74" s="3"/>
      <c r="K74" s="8"/>
    </row>
  </sheetData>
  <mergeCells count="2">
    <mergeCell ref="F6:G6"/>
    <mergeCell ref="M6:N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7"/>
  <sheetViews>
    <sheetView workbookViewId="0">
      <selection activeCell="C8" sqref="C8"/>
    </sheetView>
  </sheetViews>
  <sheetFormatPr baseColWidth="10" defaultColWidth="11.453125" defaultRowHeight="14.5" x14ac:dyDescent="0.35"/>
  <cols>
    <col min="1" max="1" width="11.453125" style="1"/>
    <col min="2" max="2" width="11.453125" style="2"/>
    <col min="3" max="3" width="7.26953125" style="3" customWidth="1"/>
    <col min="4" max="4" width="29" style="8" bestFit="1" customWidth="1"/>
    <col min="5" max="5" width="11.26953125" style="27" customWidth="1"/>
    <col min="6" max="6" width="12.7265625" style="27" customWidth="1"/>
    <col min="7" max="9" width="11.453125" style="2"/>
    <col min="10" max="10" width="7.26953125" style="3" customWidth="1"/>
    <col min="11" max="11" width="29" style="8" bestFit="1" customWidth="1"/>
    <col min="12" max="13" width="11.453125" style="27"/>
    <col min="14" max="16384" width="11.453125" style="2"/>
  </cols>
  <sheetData>
    <row r="1" spans="2:13" s="2" customFormat="1" ht="13" x14ac:dyDescent="0.3">
      <c r="C1" s="3"/>
      <c r="D1" s="10" t="s">
        <v>9</v>
      </c>
      <c r="E1" s="27"/>
      <c r="F1" s="27"/>
      <c r="J1" s="3"/>
      <c r="K1" s="10" t="s">
        <v>9</v>
      </c>
      <c r="L1" s="27"/>
      <c r="M1" s="27"/>
    </row>
    <row r="2" spans="2:13" s="2" customFormat="1" ht="13" x14ac:dyDescent="0.3">
      <c r="C2" s="3"/>
      <c r="D2" s="12" t="s">
        <v>0</v>
      </c>
      <c r="E2" s="27"/>
      <c r="F2" s="27"/>
      <c r="J2" s="3"/>
      <c r="K2" s="12" t="s">
        <v>89</v>
      </c>
      <c r="L2" s="27"/>
      <c r="M2" s="27"/>
    </row>
    <row r="3" spans="2:13" s="2" customFormat="1" ht="13" x14ac:dyDescent="0.3">
      <c r="C3" s="3"/>
      <c r="D3" s="10" t="s">
        <v>1</v>
      </c>
      <c r="E3" s="27"/>
      <c r="F3" s="27"/>
      <c r="J3" s="3"/>
      <c r="K3" s="10" t="s">
        <v>1</v>
      </c>
      <c r="L3" s="27"/>
      <c r="M3" s="27"/>
    </row>
    <row r="4" spans="2:13" s="2" customFormat="1" ht="13" x14ac:dyDescent="0.3">
      <c r="C4" s="3"/>
      <c r="D4" s="13" t="s">
        <v>2</v>
      </c>
      <c r="E4" s="27"/>
      <c r="F4" s="27"/>
      <c r="J4" s="3"/>
      <c r="K4" s="13" t="s">
        <v>2</v>
      </c>
      <c r="L4" s="27"/>
      <c r="M4" s="27"/>
    </row>
    <row r="5" spans="2:13" s="2" customFormat="1" ht="13" x14ac:dyDescent="0.3">
      <c r="B5" s="14"/>
      <c r="C5" s="3"/>
      <c r="D5" s="15"/>
      <c r="E5" s="28"/>
      <c r="F5" s="27"/>
      <c r="G5" s="27"/>
      <c r="J5" s="3"/>
      <c r="K5" s="15"/>
      <c r="L5" s="27"/>
      <c r="M5" s="27"/>
    </row>
    <row r="6" spans="2:13" s="2" customFormat="1" ht="13" x14ac:dyDescent="0.3">
      <c r="B6" s="11"/>
      <c r="C6" s="3"/>
      <c r="D6" s="17"/>
      <c r="E6" s="27"/>
      <c r="F6" s="27"/>
      <c r="G6" s="27"/>
      <c r="J6" s="3"/>
      <c r="K6" s="17"/>
      <c r="L6" s="27"/>
      <c r="M6" s="27"/>
    </row>
    <row r="7" spans="2:13" s="2" customFormat="1" ht="13" x14ac:dyDescent="0.3">
      <c r="B7" s="11"/>
      <c r="C7" s="3"/>
      <c r="D7" s="17"/>
      <c r="E7" s="27"/>
      <c r="F7" s="27"/>
      <c r="G7" s="27"/>
      <c r="J7" s="3"/>
      <c r="K7" s="17"/>
      <c r="L7" s="27"/>
      <c r="M7" s="27"/>
    </row>
    <row r="8" spans="2:13" s="19" customFormat="1" ht="13" x14ac:dyDescent="0.3">
      <c r="C8" s="20" t="s">
        <v>10</v>
      </c>
      <c r="D8" s="15" t="s">
        <v>3</v>
      </c>
      <c r="E8" s="27"/>
      <c r="F8" s="27"/>
      <c r="G8" s="27"/>
      <c r="J8" s="20">
        <v>4</v>
      </c>
      <c r="K8" s="15" t="s">
        <v>90</v>
      </c>
      <c r="L8" s="27"/>
      <c r="M8" s="27"/>
    </row>
    <row r="9" spans="2:13" s="19" customFormat="1" ht="23.25" customHeight="1" x14ac:dyDescent="0.3">
      <c r="C9" s="20">
        <v>1.1000000000000001</v>
      </c>
      <c r="D9" s="15" t="s">
        <v>11</v>
      </c>
      <c r="E9" s="27"/>
      <c r="F9" s="27"/>
      <c r="G9" s="27"/>
      <c r="J9" s="3">
        <v>1.1000000000000001</v>
      </c>
      <c r="K9" s="5" t="s">
        <v>91</v>
      </c>
      <c r="L9" s="27">
        <v>100</v>
      </c>
      <c r="M9" s="27"/>
    </row>
    <row r="10" spans="2:13" s="19" customFormat="1" ht="13" x14ac:dyDescent="0.3">
      <c r="C10" s="20" t="s">
        <v>12</v>
      </c>
      <c r="D10" s="15" t="s">
        <v>4</v>
      </c>
      <c r="E10" s="27"/>
      <c r="F10" s="27"/>
      <c r="G10" s="27"/>
      <c r="J10" s="3" t="s">
        <v>12</v>
      </c>
      <c r="K10" s="5" t="s">
        <v>92</v>
      </c>
      <c r="L10" s="31">
        <v>100</v>
      </c>
      <c r="M10" s="27"/>
    </row>
    <row r="11" spans="2:13" s="2" customFormat="1" ht="13" x14ac:dyDescent="0.3">
      <c r="C11" s="3" t="s">
        <v>13</v>
      </c>
      <c r="D11" s="5" t="s">
        <v>5</v>
      </c>
      <c r="F11" s="27">
        <v>10</v>
      </c>
      <c r="G11" s="27"/>
      <c r="J11" s="3"/>
      <c r="K11" s="4" t="s">
        <v>131</v>
      </c>
      <c r="M11" s="30">
        <f>SUM(L9:L10)</f>
        <v>200</v>
      </c>
    </row>
    <row r="12" spans="2:13" s="19" customFormat="1" ht="13" x14ac:dyDescent="0.3">
      <c r="C12" s="20" t="s">
        <v>14</v>
      </c>
      <c r="D12" s="15" t="s">
        <v>6</v>
      </c>
      <c r="E12" s="27"/>
      <c r="F12" s="27">
        <f>SUM(E13:E15)</f>
        <v>30</v>
      </c>
      <c r="G12" s="27"/>
      <c r="L12" s="27"/>
      <c r="M12" s="27"/>
    </row>
    <row r="13" spans="2:13" s="2" customFormat="1" ht="13" x14ac:dyDescent="0.3">
      <c r="C13" s="3" t="s">
        <v>15</v>
      </c>
      <c r="D13" s="5" t="s">
        <v>18</v>
      </c>
      <c r="E13" s="27">
        <v>10</v>
      </c>
      <c r="F13" s="27"/>
      <c r="G13" s="27"/>
      <c r="J13" s="20">
        <v>5</v>
      </c>
      <c r="K13" s="15" t="s">
        <v>93</v>
      </c>
      <c r="L13" s="27"/>
      <c r="M13" s="27"/>
    </row>
    <row r="14" spans="2:13" s="2" customFormat="1" ht="13" x14ac:dyDescent="0.3">
      <c r="C14" s="3" t="s">
        <v>16</v>
      </c>
      <c r="D14" s="5" t="s">
        <v>19</v>
      </c>
      <c r="E14" s="27">
        <v>10</v>
      </c>
      <c r="F14" s="27"/>
      <c r="G14" s="27"/>
      <c r="J14" s="2">
        <v>5.0999999999999996</v>
      </c>
      <c r="K14" s="2" t="s">
        <v>37</v>
      </c>
      <c r="L14" s="31">
        <v>20</v>
      </c>
      <c r="M14" s="27"/>
    </row>
    <row r="15" spans="2:13" s="2" customFormat="1" ht="13" x14ac:dyDescent="0.3">
      <c r="C15" s="3" t="s">
        <v>17</v>
      </c>
      <c r="D15" s="5" t="s">
        <v>20</v>
      </c>
      <c r="E15" s="31">
        <v>10</v>
      </c>
      <c r="F15" s="27"/>
      <c r="G15" s="27"/>
      <c r="K15" s="19" t="s">
        <v>132</v>
      </c>
      <c r="M15" s="30">
        <v>20</v>
      </c>
    </row>
    <row r="16" spans="2:13" s="19" customFormat="1" ht="13" x14ac:dyDescent="0.3">
      <c r="C16" s="20" t="s">
        <v>22</v>
      </c>
      <c r="D16" s="15" t="s">
        <v>21</v>
      </c>
      <c r="E16" s="27"/>
      <c r="F16" s="27"/>
      <c r="G16" s="27"/>
      <c r="J16" s="3"/>
      <c r="K16" s="8"/>
      <c r="L16" s="27"/>
      <c r="M16" s="27"/>
    </row>
    <row r="17" spans="1:13" s="19" customFormat="1" ht="13" x14ac:dyDescent="0.3">
      <c r="C17" s="20" t="s">
        <v>24</v>
      </c>
      <c r="D17" s="15" t="s">
        <v>23</v>
      </c>
      <c r="E17" s="27"/>
      <c r="F17" s="27">
        <f>SUM(E18:E19)</f>
        <v>20</v>
      </c>
      <c r="G17" s="27"/>
      <c r="K17" s="19" t="s">
        <v>134</v>
      </c>
      <c r="M17" s="30">
        <f>+M11-M15</f>
        <v>180</v>
      </c>
    </row>
    <row r="18" spans="1:13" ht="13" x14ac:dyDescent="0.3">
      <c r="A18" s="2"/>
      <c r="C18" s="3" t="s">
        <v>33</v>
      </c>
      <c r="D18" s="5" t="s">
        <v>7</v>
      </c>
      <c r="E18" s="27">
        <v>10</v>
      </c>
      <c r="G18" s="27"/>
    </row>
    <row r="19" spans="1:13" ht="13" x14ac:dyDescent="0.3">
      <c r="A19" s="2"/>
      <c r="C19" s="3" t="s">
        <v>34</v>
      </c>
      <c r="D19" s="5" t="s">
        <v>35</v>
      </c>
      <c r="E19" s="31">
        <v>10</v>
      </c>
      <c r="G19" s="27"/>
    </row>
    <row r="20" spans="1:13" s="19" customFormat="1" ht="13" x14ac:dyDescent="0.3">
      <c r="C20" s="20" t="s">
        <v>25</v>
      </c>
      <c r="D20" s="15" t="s">
        <v>8</v>
      </c>
      <c r="E20" s="27"/>
      <c r="F20" s="27"/>
      <c r="G20" s="27"/>
      <c r="J20" s="20">
        <v>6</v>
      </c>
      <c r="K20" s="15" t="s">
        <v>94</v>
      </c>
      <c r="L20" s="27"/>
      <c r="M20" s="27"/>
    </row>
    <row r="21" spans="1:13" ht="13" x14ac:dyDescent="0.3">
      <c r="A21" s="2"/>
      <c r="C21" s="3" t="s">
        <v>36</v>
      </c>
      <c r="D21" s="5" t="s">
        <v>37</v>
      </c>
      <c r="F21" s="27">
        <v>10</v>
      </c>
      <c r="G21" s="27"/>
      <c r="J21" s="3">
        <v>6.1</v>
      </c>
      <c r="K21" s="5" t="s">
        <v>95</v>
      </c>
      <c r="L21" s="27">
        <v>10</v>
      </c>
    </row>
    <row r="22" spans="1:13" s="19" customFormat="1" ht="13" x14ac:dyDescent="0.3">
      <c r="C22" s="20" t="s">
        <v>26</v>
      </c>
      <c r="D22" s="15" t="s">
        <v>62</v>
      </c>
      <c r="E22" s="27"/>
      <c r="F22" s="27">
        <f>SUM(E23:E24)</f>
        <v>20</v>
      </c>
      <c r="G22" s="27"/>
      <c r="J22" s="3">
        <v>6.2</v>
      </c>
      <c r="K22" s="5" t="s">
        <v>96</v>
      </c>
      <c r="L22" s="27">
        <v>10</v>
      </c>
      <c r="M22" s="27"/>
    </row>
    <row r="23" spans="1:13" ht="13" x14ac:dyDescent="0.3">
      <c r="A23" s="2"/>
      <c r="C23" s="3" t="s">
        <v>65</v>
      </c>
      <c r="D23" s="5" t="s">
        <v>64</v>
      </c>
      <c r="E23" s="27">
        <v>10</v>
      </c>
      <c r="G23" s="27"/>
      <c r="J23" s="3">
        <v>6.3</v>
      </c>
      <c r="K23" s="5" t="s">
        <v>97</v>
      </c>
      <c r="L23" s="27">
        <v>10</v>
      </c>
    </row>
    <row r="24" spans="1:13" ht="13" x14ac:dyDescent="0.3">
      <c r="A24" s="2"/>
      <c r="C24" s="3" t="s">
        <v>65</v>
      </c>
      <c r="D24" s="5" t="s">
        <v>66</v>
      </c>
      <c r="E24" s="31">
        <v>10</v>
      </c>
      <c r="G24" s="27"/>
      <c r="J24" s="3">
        <v>6.4</v>
      </c>
      <c r="K24" s="5" t="s">
        <v>98</v>
      </c>
      <c r="L24" s="27">
        <v>10</v>
      </c>
    </row>
    <row r="25" spans="1:13" s="19" customFormat="1" ht="13" x14ac:dyDescent="0.3">
      <c r="C25" s="20" t="s">
        <v>63</v>
      </c>
      <c r="D25" s="15" t="s">
        <v>27</v>
      </c>
      <c r="E25" s="27"/>
      <c r="F25" s="27"/>
      <c r="G25" s="27"/>
      <c r="J25" s="3">
        <v>6.5</v>
      </c>
      <c r="K25" s="5" t="s">
        <v>99</v>
      </c>
      <c r="L25" s="27">
        <v>10</v>
      </c>
      <c r="M25" s="27"/>
    </row>
    <row r="26" spans="1:13" s="19" customFormat="1" ht="24" customHeight="1" x14ac:dyDescent="0.3">
      <c r="C26" s="20">
        <v>1.2</v>
      </c>
      <c r="D26" s="15" t="s">
        <v>28</v>
      </c>
      <c r="E26" s="27"/>
      <c r="F26" s="27"/>
      <c r="G26" s="27"/>
      <c r="J26" s="3">
        <v>6.6</v>
      </c>
      <c r="K26" s="5" t="s">
        <v>100</v>
      </c>
      <c r="L26" s="27">
        <v>10</v>
      </c>
      <c r="M26" s="27"/>
    </row>
    <row r="27" spans="1:13" s="19" customFormat="1" ht="13" x14ac:dyDescent="0.3">
      <c r="C27" s="20" t="s">
        <v>38</v>
      </c>
      <c r="D27" s="15" t="s">
        <v>29</v>
      </c>
      <c r="E27" s="27"/>
      <c r="F27" s="27">
        <f>SUM(E28:E31)</f>
        <v>40</v>
      </c>
      <c r="G27" s="27"/>
      <c r="J27" s="3">
        <v>6.7</v>
      </c>
      <c r="K27" s="5" t="s">
        <v>101</v>
      </c>
      <c r="L27" s="31">
        <v>10</v>
      </c>
      <c r="M27" s="27"/>
    </row>
    <row r="28" spans="1:13" ht="13" x14ac:dyDescent="0.3">
      <c r="A28" s="2"/>
      <c r="C28" s="3" t="s">
        <v>42</v>
      </c>
      <c r="D28" s="5" t="s">
        <v>39</v>
      </c>
      <c r="E28" s="27">
        <v>10</v>
      </c>
      <c r="G28" s="27"/>
      <c r="K28" s="15" t="s">
        <v>133</v>
      </c>
      <c r="L28" s="30"/>
      <c r="M28" s="30">
        <f>SUM(L21:L27)</f>
        <v>70</v>
      </c>
    </row>
    <row r="29" spans="1:13" ht="13" x14ac:dyDescent="0.3">
      <c r="A29" s="2"/>
      <c r="C29" s="3" t="s">
        <v>43</v>
      </c>
      <c r="D29" s="5" t="s">
        <v>40</v>
      </c>
      <c r="E29" s="27">
        <v>10</v>
      </c>
      <c r="G29" s="27"/>
      <c r="K29" s="5"/>
    </row>
    <row r="30" spans="1:13" ht="13" x14ac:dyDescent="0.3">
      <c r="A30" s="2"/>
      <c r="C30" s="3" t="s">
        <v>44</v>
      </c>
      <c r="D30" s="5" t="s">
        <v>46</v>
      </c>
      <c r="E30" s="27">
        <v>10</v>
      </c>
      <c r="G30" s="27"/>
      <c r="K30" s="5"/>
    </row>
    <row r="31" spans="1:13" ht="13" x14ac:dyDescent="0.3">
      <c r="A31" s="2"/>
      <c r="C31" s="3" t="s">
        <v>45</v>
      </c>
      <c r="D31" s="5" t="s">
        <v>41</v>
      </c>
      <c r="E31" s="31">
        <v>10</v>
      </c>
      <c r="G31" s="27"/>
      <c r="J31" s="20">
        <v>7</v>
      </c>
      <c r="K31" s="15" t="s">
        <v>106</v>
      </c>
    </row>
    <row r="32" spans="1:13" ht="13" x14ac:dyDescent="0.3">
      <c r="A32" s="2"/>
      <c r="C32" s="20" t="s">
        <v>47</v>
      </c>
      <c r="D32" s="15" t="s">
        <v>30</v>
      </c>
      <c r="F32" s="27">
        <v>10</v>
      </c>
      <c r="G32" s="27"/>
      <c r="J32" s="3">
        <v>7.1</v>
      </c>
      <c r="K32" s="5" t="s">
        <v>105</v>
      </c>
      <c r="L32" s="31">
        <v>10</v>
      </c>
    </row>
    <row r="33" spans="1:13" ht="13" x14ac:dyDescent="0.3">
      <c r="A33" s="2"/>
      <c r="C33" s="20" t="s">
        <v>48</v>
      </c>
      <c r="D33" s="15" t="s">
        <v>31</v>
      </c>
      <c r="E33" s="32"/>
      <c r="F33" s="32">
        <v>10</v>
      </c>
      <c r="G33" s="27"/>
      <c r="J33" s="2"/>
      <c r="K33" s="15" t="s">
        <v>135</v>
      </c>
      <c r="M33" s="30">
        <f>SUM(L32)</f>
        <v>10</v>
      </c>
    </row>
    <row r="34" spans="1:13" s="19" customFormat="1" ht="13" x14ac:dyDescent="0.3">
      <c r="C34" s="20" t="s">
        <v>49</v>
      </c>
      <c r="D34" s="15" t="s">
        <v>32</v>
      </c>
      <c r="E34" s="31"/>
      <c r="F34" s="31">
        <v>10</v>
      </c>
      <c r="G34" s="27"/>
      <c r="J34" s="3"/>
      <c r="K34" s="5"/>
      <c r="L34" s="27"/>
      <c r="M34" s="27"/>
    </row>
    <row r="35" spans="1:13" ht="13" x14ac:dyDescent="0.3">
      <c r="A35" s="2"/>
      <c r="D35" s="15" t="s">
        <v>127</v>
      </c>
      <c r="F35" s="30">
        <f>SUM(F10:F34)</f>
        <v>160</v>
      </c>
      <c r="G35" s="27"/>
      <c r="J35" s="20">
        <v>8</v>
      </c>
      <c r="K35" s="15" t="s">
        <v>107</v>
      </c>
    </row>
    <row r="36" spans="1:13" ht="13" x14ac:dyDescent="0.3">
      <c r="A36" s="2"/>
      <c r="C36" s="2"/>
      <c r="D36" s="2"/>
      <c r="E36" s="2"/>
      <c r="F36" s="2"/>
      <c r="G36" s="27"/>
      <c r="J36" s="3">
        <v>8.1</v>
      </c>
      <c r="K36" s="5" t="s">
        <v>108</v>
      </c>
      <c r="L36" s="27">
        <v>10</v>
      </c>
    </row>
    <row r="37" spans="1:13" ht="13" x14ac:dyDescent="0.3">
      <c r="A37" s="2"/>
      <c r="C37" s="2"/>
      <c r="D37" s="2"/>
      <c r="E37" s="2"/>
      <c r="F37" s="2"/>
      <c r="G37" s="27"/>
      <c r="J37" s="3">
        <v>8.1</v>
      </c>
      <c r="K37" s="5" t="s">
        <v>109</v>
      </c>
      <c r="L37" s="31">
        <v>10</v>
      </c>
    </row>
    <row r="38" spans="1:13" s="19" customFormat="1" ht="24" customHeight="1" x14ac:dyDescent="0.3">
      <c r="C38" s="20">
        <v>2</v>
      </c>
      <c r="D38" s="15" t="s">
        <v>50</v>
      </c>
      <c r="E38" s="27"/>
      <c r="F38" s="27"/>
      <c r="G38" s="27"/>
      <c r="J38" s="3"/>
      <c r="K38" s="15" t="s">
        <v>136</v>
      </c>
      <c r="L38" s="27"/>
      <c r="M38" s="30">
        <f>SUM(L36:L37)</f>
        <v>20</v>
      </c>
    </row>
    <row r="39" spans="1:13" s="19" customFormat="1" ht="20.25" customHeight="1" x14ac:dyDescent="0.3">
      <c r="C39" s="20">
        <v>2.1</v>
      </c>
      <c r="D39" s="15" t="s">
        <v>51</v>
      </c>
      <c r="E39" s="27"/>
      <c r="F39" s="27"/>
      <c r="G39" s="27"/>
      <c r="J39" s="3"/>
      <c r="K39" s="5"/>
      <c r="L39" s="27"/>
      <c r="M39" s="31"/>
    </row>
    <row r="40" spans="1:13" s="19" customFormat="1" ht="13" x14ac:dyDescent="0.3">
      <c r="C40" s="20" t="s">
        <v>67</v>
      </c>
      <c r="D40" s="15" t="s">
        <v>74</v>
      </c>
      <c r="E40" s="27"/>
      <c r="F40" s="27">
        <f>SUM(E41:E42)</f>
        <v>20</v>
      </c>
      <c r="G40" s="27"/>
      <c r="J40" s="3"/>
      <c r="K40" s="15" t="s">
        <v>137</v>
      </c>
      <c r="L40" s="30"/>
      <c r="M40" s="30">
        <f>+M11-M15-M28+M33+M38</f>
        <v>140</v>
      </c>
    </row>
    <row r="41" spans="1:13" ht="13" x14ac:dyDescent="0.3">
      <c r="A41" s="2"/>
      <c r="C41" s="3" t="s">
        <v>75</v>
      </c>
      <c r="D41" s="5" t="s">
        <v>76</v>
      </c>
      <c r="E41" s="27">
        <v>10</v>
      </c>
      <c r="G41" s="27"/>
      <c r="K41" s="5"/>
    </row>
    <row r="42" spans="1:13" ht="13" x14ac:dyDescent="0.3">
      <c r="A42" s="2"/>
      <c r="C42" s="3" t="s">
        <v>78</v>
      </c>
      <c r="D42" s="5" t="s">
        <v>77</v>
      </c>
      <c r="E42" s="31">
        <v>10</v>
      </c>
      <c r="G42" s="27"/>
      <c r="K42" s="5"/>
    </row>
    <row r="43" spans="1:13" s="19" customFormat="1" ht="13" x14ac:dyDescent="0.3">
      <c r="C43" s="20" t="s">
        <v>68</v>
      </c>
      <c r="D43" s="15" t="s">
        <v>52</v>
      </c>
      <c r="E43" s="27"/>
      <c r="F43" s="27">
        <f>SUM(E44:E45)</f>
        <v>20</v>
      </c>
      <c r="G43" s="27"/>
      <c r="J43" s="3"/>
      <c r="K43" s="5"/>
      <c r="L43" s="27"/>
      <c r="M43" s="27"/>
    </row>
    <row r="44" spans="1:13" ht="13" x14ac:dyDescent="0.3">
      <c r="A44" s="2"/>
      <c r="C44" s="3" t="s">
        <v>72</v>
      </c>
      <c r="D44" s="5" t="s">
        <v>55</v>
      </c>
      <c r="E44" s="27">
        <v>10</v>
      </c>
      <c r="G44" s="27"/>
      <c r="J44" s="20"/>
      <c r="K44" s="15"/>
    </row>
    <row r="45" spans="1:13" ht="13" x14ac:dyDescent="0.3">
      <c r="A45" s="2"/>
      <c r="C45" s="3" t="s">
        <v>73</v>
      </c>
      <c r="D45" s="5" t="s">
        <v>71</v>
      </c>
      <c r="E45" s="31">
        <v>10</v>
      </c>
      <c r="G45" s="27"/>
      <c r="J45" s="20"/>
      <c r="K45" s="15"/>
    </row>
    <row r="46" spans="1:13" s="19" customFormat="1" ht="13" x14ac:dyDescent="0.3">
      <c r="C46" s="20" t="s">
        <v>69</v>
      </c>
      <c r="D46" s="15" t="s">
        <v>53</v>
      </c>
      <c r="E46" s="27"/>
      <c r="F46" s="27">
        <v>10</v>
      </c>
      <c r="G46" s="27"/>
      <c r="J46" s="3"/>
      <c r="K46" s="5"/>
      <c r="L46" s="27"/>
      <c r="M46" s="27"/>
    </row>
    <row r="47" spans="1:13" s="19" customFormat="1" ht="13" x14ac:dyDescent="0.3">
      <c r="C47" s="20" t="s">
        <v>70</v>
      </c>
      <c r="D47" s="15" t="s">
        <v>54</v>
      </c>
      <c r="E47" s="27"/>
      <c r="F47" s="27">
        <v>10</v>
      </c>
      <c r="G47" s="27"/>
      <c r="J47" s="20"/>
      <c r="K47" s="15"/>
      <c r="L47" s="27"/>
      <c r="M47" s="27"/>
    </row>
    <row r="48" spans="1:13" s="19" customFormat="1" ht="19.5" customHeight="1" x14ac:dyDescent="0.3">
      <c r="C48" s="20">
        <v>2.2000000000000002</v>
      </c>
      <c r="D48" s="15" t="s">
        <v>56</v>
      </c>
      <c r="E48" s="27"/>
      <c r="F48" s="27"/>
      <c r="G48" s="27"/>
      <c r="J48" s="20"/>
      <c r="K48" s="15"/>
      <c r="L48" s="27"/>
      <c r="M48" s="27"/>
    </row>
    <row r="49" spans="1:13" ht="13" x14ac:dyDescent="0.3">
      <c r="A49" s="2"/>
      <c r="C49" s="3" t="s">
        <v>79</v>
      </c>
      <c r="D49" s="5" t="s">
        <v>57</v>
      </c>
      <c r="F49" s="27">
        <v>10</v>
      </c>
      <c r="G49" s="27"/>
      <c r="J49" s="20"/>
      <c r="K49" s="15"/>
    </row>
    <row r="50" spans="1:13" ht="13" x14ac:dyDescent="0.3">
      <c r="A50" s="2"/>
      <c r="C50" s="3" t="s">
        <v>80</v>
      </c>
      <c r="D50" s="5" t="s">
        <v>58</v>
      </c>
      <c r="F50" s="27">
        <v>10</v>
      </c>
      <c r="G50" s="27"/>
      <c r="K50" s="5"/>
    </row>
    <row r="51" spans="1:13" ht="13" x14ac:dyDescent="0.3">
      <c r="A51" s="2"/>
      <c r="C51" s="3" t="s">
        <v>81</v>
      </c>
      <c r="D51" s="5" t="s">
        <v>82</v>
      </c>
      <c r="E51" s="31"/>
      <c r="F51" s="31">
        <v>10</v>
      </c>
      <c r="G51" s="27"/>
      <c r="K51" s="5"/>
    </row>
    <row r="52" spans="1:13" ht="13" x14ac:dyDescent="0.3">
      <c r="A52" s="2"/>
      <c r="D52" s="15" t="s">
        <v>128</v>
      </c>
      <c r="F52" s="30">
        <f>SUM(F40:F51)</f>
        <v>90</v>
      </c>
      <c r="G52" s="27"/>
      <c r="J52" s="20"/>
      <c r="K52" s="15"/>
    </row>
    <row r="53" spans="1:13" ht="13" x14ac:dyDescent="0.3">
      <c r="A53" s="2"/>
      <c r="D53" s="5"/>
      <c r="G53" s="27"/>
      <c r="K53" s="5"/>
    </row>
    <row r="54" spans="1:13" s="19" customFormat="1" ht="18" customHeight="1" x14ac:dyDescent="0.3">
      <c r="C54" s="20">
        <v>3</v>
      </c>
      <c r="D54" s="15" t="s">
        <v>59</v>
      </c>
      <c r="E54" s="27"/>
      <c r="F54" s="27"/>
      <c r="G54" s="27"/>
      <c r="J54" s="3"/>
      <c r="K54" s="5"/>
      <c r="L54" s="27"/>
      <c r="M54" s="27"/>
    </row>
    <row r="55" spans="1:13" ht="13" x14ac:dyDescent="0.3">
      <c r="A55" s="2"/>
      <c r="C55" s="3">
        <v>3.1</v>
      </c>
      <c r="D55" s="5" t="s">
        <v>83</v>
      </c>
      <c r="E55" s="27">
        <v>20</v>
      </c>
      <c r="G55" s="27"/>
      <c r="K55" s="5"/>
    </row>
    <row r="56" spans="1:13" ht="13" x14ac:dyDescent="0.3">
      <c r="A56" s="2"/>
      <c r="C56" s="3">
        <v>3.2</v>
      </c>
      <c r="D56" s="5" t="s">
        <v>85</v>
      </c>
      <c r="E56" s="27">
        <v>5</v>
      </c>
      <c r="G56" s="27"/>
      <c r="J56" s="20"/>
      <c r="K56" s="15"/>
    </row>
    <row r="57" spans="1:13" ht="13" x14ac:dyDescent="0.3">
      <c r="A57" s="2"/>
      <c r="C57" s="3">
        <v>3.3</v>
      </c>
      <c r="D57" s="5" t="s">
        <v>84</v>
      </c>
      <c r="E57" s="27">
        <v>10</v>
      </c>
      <c r="G57" s="27"/>
      <c r="J57" s="20"/>
      <c r="K57" s="15"/>
    </row>
    <row r="58" spans="1:13" ht="13" x14ac:dyDescent="0.3">
      <c r="A58" s="2"/>
      <c r="B58" s="25"/>
      <c r="C58" s="3">
        <v>3.4</v>
      </c>
      <c r="D58" s="5" t="s">
        <v>60</v>
      </c>
      <c r="E58" s="27">
        <v>25</v>
      </c>
      <c r="G58" s="27"/>
      <c r="J58" s="20"/>
      <c r="K58" s="15"/>
    </row>
    <row r="59" spans="1:13" ht="13" x14ac:dyDescent="0.3">
      <c r="A59" s="2"/>
      <c r="B59" s="19"/>
      <c r="C59" s="3">
        <v>3.5</v>
      </c>
      <c r="D59" s="5" t="s">
        <v>61</v>
      </c>
      <c r="E59" s="31">
        <v>10</v>
      </c>
      <c r="F59" s="31"/>
      <c r="G59" s="27"/>
      <c r="K59" s="5"/>
    </row>
    <row r="60" spans="1:13" ht="13" x14ac:dyDescent="0.3">
      <c r="A60" s="2"/>
      <c r="D60" s="15" t="s">
        <v>129</v>
      </c>
      <c r="F60" s="30">
        <f>SUM(E55:E59)</f>
        <v>70</v>
      </c>
      <c r="G60" s="27"/>
      <c r="K60" s="5"/>
    </row>
    <row r="61" spans="1:13" ht="13" x14ac:dyDescent="0.3">
      <c r="A61" s="2"/>
      <c r="G61" s="27"/>
      <c r="K61" s="5"/>
    </row>
    <row r="62" spans="1:13" ht="13" x14ac:dyDescent="0.3">
      <c r="A62" s="2"/>
      <c r="D62" s="4" t="s">
        <v>130</v>
      </c>
      <c r="F62" s="30">
        <f>+F52+F60</f>
        <v>160</v>
      </c>
      <c r="G62" s="27"/>
      <c r="K62" s="5"/>
    </row>
    <row r="63" spans="1:13" ht="13" x14ac:dyDescent="0.3">
      <c r="A63" s="2"/>
      <c r="G63" s="27"/>
      <c r="J63" s="20"/>
      <c r="K63" s="15"/>
    </row>
    <row r="64" spans="1:13" ht="13" x14ac:dyDescent="0.3">
      <c r="A64" s="2"/>
      <c r="G64" s="27"/>
      <c r="K64" s="5"/>
    </row>
    <row r="65" spans="1:13" ht="13" x14ac:dyDescent="0.3">
      <c r="A65" s="2"/>
      <c r="G65" s="27"/>
      <c r="K65" s="5"/>
    </row>
    <row r="66" spans="1:13" s="14" customFormat="1" ht="13" x14ac:dyDescent="0.3">
      <c r="C66" s="26"/>
      <c r="D66" s="26"/>
      <c r="E66" s="28"/>
      <c r="F66" s="27"/>
      <c r="G66" s="27"/>
      <c r="J66" s="3"/>
      <c r="K66" s="5"/>
      <c r="L66" s="29"/>
      <c r="M66" s="29"/>
    </row>
    <row r="67" spans="1:13" s="14" customFormat="1" ht="13" x14ac:dyDescent="0.3">
      <c r="C67" s="26"/>
      <c r="D67" s="26"/>
      <c r="E67" s="28"/>
      <c r="F67" s="27"/>
      <c r="G67" s="27"/>
      <c r="J67" s="3"/>
      <c r="K67" s="5"/>
      <c r="L67" s="29"/>
      <c r="M67" s="29"/>
    </row>
    <row r="68" spans="1:13" ht="13" x14ac:dyDescent="0.3">
      <c r="A68" s="2"/>
      <c r="G68" s="27"/>
      <c r="K68" s="5"/>
    </row>
    <row r="69" spans="1:13" ht="13" x14ac:dyDescent="0.3">
      <c r="A69" s="2"/>
      <c r="G69" s="27"/>
    </row>
    <row r="70" spans="1:13" ht="13" x14ac:dyDescent="0.3">
      <c r="A70" s="2"/>
      <c r="G70" s="27"/>
    </row>
    <row r="71" spans="1:13" ht="13" x14ac:dyDescent="0.3">
      <c r="A71" s="2"/>
      <c r="G71" s="27"/>
    </row>
    <row r="72" spans="1:13" ht="13" x14ac:dyDescent="0.3">
      <c r="A72" s="2"/>
      <c r="D72" s="26"/>
      <c r="G72" s="27"/>
    </row>
    <row r="73" spans="1:13" ht="13" x14ac:dyDescent="0.3">
      <c r="A73" s="2"/>
      <c r="G73" s="27"/>
    </row>
    <row r="74" spans="1:13" ht="13" x14ac:dyDescent="0.3">
      <c r="A74" s="2"/>
      <c r="F74" s="29"/>
      <c r="G74" s="7"/>
    </row>
    <row r="75" spans="1:13" ht="13" x14ac:dyDescent="0.3">
      <c r="A75" s="2"/>
      <c r="F75" s="29"/>
      <c r="G75" s="7"/>
    </row>
    <row r="76" spans="1:13" ht="13" x14ac:dyDescent="0.3">
      <c r="A76" s="2"/>
      <c r="F76" s="29"/>
      <c r="G76" s="7"/>
    </row>
    <row r="77" spans="1:13" ht="13" x14ac:dyDescent="0.3">
      <c r="A77" s="2"/>
      <c r="F77" s="29"/>
      <c r="G7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Morales Garcia</dc:creator>
  <cp:lastModifiedBy>Oscar Marin</cp:lastModifiedBy>
  <dcterms:created xsi:type="dcterms:W3CDTF">2026-05-12T05:22:42Z</dcterms:created>
  <dcterms:modified xsi:type="dcterms:W3CDTF">2026-05-13T04:28:18Z</dcterms:modified>
</cp:coreProperties>
</file>